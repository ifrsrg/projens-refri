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workbookProtection workbookPassword="CA9C" lockStructure="1"/>
  <bookViews>
    <workbookView xWindow="120" yWindow="75" windowWidth="19320" windowHeight="11760" activeTab="1"/>
  </bookViews>
  <sheets>
    <sheet name="Apresentação" sheetId="2" r:id="rId1"/>
    <sheet name="Rec. Pressão Estática" sheetId="1" r:id="rId2"/>
  </sheets>
  <definedNames>
    <definedName name="solver_adj" localSheetId="1" hidden="1">'Rec. Pressão Estática'!$J$13</definedName>
    <definedName name="solver_cvg" localSheetId="1" hidden="1">0.0000000001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'Rec. Pressão Estática'!$L$12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'Rec. Pressão Estática'!$J$12</definedName>
    <definedName name="solver_pre" localSheetId="1" hidden="1">0.0000000001</definedName>
    <definedName name="solver_rbv" localSheetId="1" hidden="1">1</definedName>
    <definedName name="solver_rel1" localSheetId="1" hidden="1">2</definedName>
    <definedName name="solver_rhs1" localSheetId="1" hidden="1">'Rec. Pressão Estática'!$J$6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2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J10" i="1" l="1"/>
  <c r="E4" i="1" l="1"/>
  <c r="E5" i="1" s="1"/>
  <c r="J11" i="1" l="1"/>
  <c r="S7" i="1" l="1"/>
  <c r="S5" i="1" l="1"/>
  <c r="S6" i="1" s="1"/>
  <c r="S4" i="1"/>
  <c r="S8" i="1" l="1"/>
  <c r="J9" i="1" s="1"/>
  <c r="J12" i="1" s="1"/>
  <c r="S10" i="1" l="1"/>
</calcChain>
</file>

<file path=xl/sharedStrings.xml><?xml version="1.0" encoding="utf-8"?>
<sst xmlns="http://schemas.openxmlformats.org/spreadsheetml/2006/main" count="72" uniqueCount="56">
  <si>
    <t>fluido</t>
  </si>
  <si>
    <t>massa específica</t>
  </si>
  <si>
    <t>viscosidade</t>
  </si>
  <si>
    <t>[Pa s]</t>
  </si>
  <si>
    <t xml:space="preserve">duto </t>
  </si>
  <si>
    <t>[m]</t>
  </si>
  <si>
    <t>[ ]</t>
  </si>
  <si>
    <t>fator de atrito</t>
  </si>
  <si>
    <t>laminar</t>
  </si>
  <si>
    <t>valor inicial de Muller</t>
  </si>
  <si>
    <t>valor de Colebrook</t>
  </si>
  <si>
    <t>valor de Blasius</t>
  </si>
  <si>
    <t>Perda de carga em um duto circular:</t>
  </si>
  <si>
    <t>perda de carga</t>
  </si>
  <si>
    <t>f</t>
  </si>
  <si>
    <t>[Pa]</t>
  </si>
  <si>
    <t>R</t>
  </si>
  <si>
    <t>u_12</t>
  </si>
  <si>
    <t>u_23</t>
  </si>
  <si>
    <t>Q23</t>
  </si>
  <si>
    <t>Re</t>
  </si>
  <si>
    <t>Erro</t>
  </si>
  <si>
    <t>u_23_i</t>
  </si>
  <si>
    <t>D_23</t>
  </si>
  <si>
    <t>Comprimento</t>
  </si>
  <si>
    <t>rugosidade</t>
  </si>
  <si>
    <t>[m/s]</t>
  </si>
  <si>
    <t>[  ]</t>
  </si>
  <si>
    <t>[%]</t>
  </si>
  <si>
    <t>[m³/s]</t>
  </si>
  <si>
    <t>chute inical --&gt;</t>
  </si>
  <si>
    <t>[kg/m³]</t>
  </si>
  <si>
    <t>Theta</t>
  </si>
  <si>
    <t>[deg]</t>
  </si>
  <si>
    <t>Eq(1)</t>
  </si>
  <si>
    <t>Eq.(2)</t>
  </si>
  <si>
    <t>Eq.(3)</t>
  </si>
  <si>
    <t>Eq.(1)</t>
  </si>
  <si>
    <t>Eq.(4)</t>
  </si>
  <si>
    <t>Eq.(5)</t>
  </si>
  <si>
    <t>Eq.(6)</t>
  </si>
  <si>
    <t>Eq.(7)</t>
  </si>
  <si>
    <t>Eq.(8a)</t>
  </si>
  <si>
    <t>Eq.(8b)</t>
  </si>
  <si>
    <t>Temperatura</t>
  </si>
  <si>
    <t>[°C]</t>
  </si>
  <si>
    <t>Legenda:</t>
  </si>
  <si>
    <t>Células (dados) não editáveis</t>
  </si>
  <si>
    <t>Células de entrada de dados</t>
  </si>
  <si>
    <t>&lt;---  Constante de Recuperação (entre 0.75 e 1)</t>
  </si>
  <si>
    <t>Esta pasta de trabalho se propõe a auxiliar no dimensionamento de dutos de distribuição de ar</t>
  </si>
  <si>
    <t>para ar-condicionado central através do método da Recuperação da Pressão Estática.</t>
  </si>
  <si>
    <t>A teoria envolvida por trás dos cálculos é apresentada em literatura específica e a formulação</t>
  </si>
  <si>
    <t>está baseada no equacionamento clássico da mecânica dos fluidos.</t>
  </si>
  <si>
    <t>Desenvolvido por: Prof. Marcelo M. Galarça</t>
  </si>
  <si>
    <t>marcelo.galarca@riogrande.ifrs.edu.br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</si>
</sst>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00E+00"/>
  </numFmts>
  <fonts count="9" x14ac:knownFonts="1"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theme="0" tint="-4.9989318521683403E-2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92D050"/>
      <name val="Calibri"/>
      <family val="2"/>
      <scheme val="minor"/>
    </font>
    <font>
      <u/>
      <sz val="11"/>
      <color rgb="FF92D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1" fillId="0" borderId="0" xfId="0" applyFont="1"/>
    <xf numFmtId="11" fontId="1" fillId="0" borderId="0" xfId="0" applyNumberFormat="1" applyFont="1"/>
    <xf numFmtId="165" fontId="0" fillId="0" borderId="0" xfId="0" applyNumberFormat="1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1" fillId="0" borderId="0" xfId="0" applyFont="1" applyFill="1"/>
    <xf numFmtId="165" fontId="1" fillId="0" borderId="0" xfId="0" applyNumberFormat="1" applyFont="1" applyFill="1"/>
    <xf numFmtId="0" fontId="0" fillId="0" borderId="0" xfId="0" applyProtection="1"/>
    <xf numFmtId="0" fontId="0" fillId="5" borderId="0" xfId="0" applyFill="1" applyProtection="1"/>
    <xf numFmtId="11" fontId="0" fillId="5" borderId="0" xfId="0" applyNumberFormat="1" applyFill="1" applyProtection="1"/>
    <xf numFmtId="166" fontId="0" fillId="5" borderId="0" xfId="0" applyNumberFormat="1" applyFill="1" applyProtection="1"/>
    <xf numFmtId="0" fontId="0" fillId="3" borderId="0" xfId="0" applyFill="1" applyProtection="1"/>
    <xf numFmtId="2" fontId="0" fillId="3" borderId="0" xfId="0" applyNumberFormat="1" applyFill="1" applyProtection="1"/>
    <xf numFmtId="2" fontId="0" fillId="0" borderId="0" xfId="0" applyNumberFormat="1" applyProtection="1"/>
    <xf numFmtId="0" fontId="0" fillId="0" borderId="0" xfId="0" applyAlignment="1" applyProtection="1">
      <alignment horizontal="right" vertical="center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2" borderId="0" xfId="0" applyFill="1" applyProtection="1"/>
    <xf numFmtId="2" fontId="0" fillId="2" borderId="0" xfId="0" applyNumberFormat="1" applyFill="1" applyProtection="1">
      <protection locked="0"/>
    </xf>
    <xf numFmtId="2" fontId="0" fillId="5" borderId="0" xfId="0" applyNumberFormat="1" applyFill="1" applyProtection="1"/>
    <xf numFmtId="0" fontId="2" fillId="0" borderId="0" xfId="0" applyFont="1"/>
    <xf numFmtId="0" fontId="2" fillId="0" borderId="0" xfId="0" applyFont="1" applyProtection="1"/>
    <xf numFmtId="0" fontId="4" fillId="0" borderId="0" xfId="0" applyFont="1" applyProtection="1"/>
    <xf numFmtId="2" fontId="1" fillId="0" borderId="0" xfId="0" applyNumberFormat="1" applyFont="1" applyProtection="1"/>
    <xf numFmtId="0" fontId="1" fillId="0" borderId="0" xfId="0" applyFont="1" applyProtection="1"/>
    <xf numFmtId="0" fontId="0" fillId="0" borderId="0" xfId="0" applyFill="1" applyProtection="1"/>
    <xf numFmtId="0" fontId="0" fillId="6" borderId="0" xfId="0" applyFill="1"/>
    <xf numFmtId="11" fontId="0" fillId="6" borderId="0" xfId="0" applyNumberFormat="1" applyFill="1"/>
    <xf numFmtId="0" fontId="3" fillId="6" borderId="0" xfId="0" applyFont="1" applyFill="1"/>
    <xf numFmtId="165" fontId="0" fillId="6" borderId="0" xfId="0" applyNumberFormat="1" applyFill="1"/>
    <xf numFmtId="0" fontId="2" fillId="6" borderId="0" xfId="0" applyFont="1" applyFill="1"/>
    <xf numFmtId="0" fontId="0" fillId="8" borderId="1" xfId="0" applyFill="1" applyBorder="1"/>
    <xf numFmtId="0" fontId="0" fillId="7" borderId="1" xfId="0" applyFill="1" applyBorder="1"/>
    <xf numFmtId="0" fontId="3" fillId="0" borderId="0" xfId="0" applyFont="1" applyProtection="1"/>
    <xf numFmtId="0" fontId="0" fillId="2" borderId="0" xfId="0" applyFill="1" applyProtection="1">
      <protection locked="0"/>
    </xf>
    <xf numFmtId="0" fontId="0" fillId="9" borderId="0" xfId="0" applyFill="1"/>
    <xf numFmtId="0" fontId="5" fillId="9" borderId="0" xfId="0" applyFont="1" applyFill="1"/>
    <xf numFmtId="0" fontId="7" fillId="9" borderId="0" xfId="0" applyFont="1" applyFill="1"/>
    <xf numFmtId="0" fontId="8" fillId="9" borderId="0" xfId="1" applyFont="1" applyFill="1"/>
    <xf numFmtId="0" fontId="0" fillId="6" borderId="0" xfId="0" applyFont="1" applyFill="1" applyAlignment="1" applyProtection="1">
      <alignment horizontal="right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colors>
    <mruColors>
      <color rgb="FF03070D"/>
      <color rgb="FF050B13"/>
      <color rgb="FF0D1F35"/>
      <color rgb="FFFFFF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jp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9</xdr:col>
      <xdr:colOff>253904</xdr:colOff>
      <xdr:row>10</xdr:row>
      <xdr:rowOff>28576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10253F"/>
            </a:clrFrom>
            <a:clrTo>
              <a:srgbClr val="10253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98" r="762" b="39496"/>
        <a:stretch/>
      </xdr:blipFill>
      <xdr:spPr>
        <a:xfrm>
          <a:off x="0" y="19050"/>
          <a:ext cx="5406929" cy="1914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1304925</xdr:colOff>
      <xdr:row>17</xdr:row>
      <xdr:rowOff>66675</xdr:rowOff>
    </xdr:from>
    <xdr:to>
      <xdr:col>20</xdr:col>
      <xdr:colOff>1771650</xdr:colOff>
      <xdr:row>19</xdr:row>
      <xdr:rowOff>57150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601950" y="3305175"/>
          <a:ext cx="466725" cy="371475"/>
        </a:xfrm>
        <a:prstGeom prst="rect">
          <a:avLst/>
        </a:prstGeom>
        <a:noFill/>
      </xdr:spPr>
    </xdr:pic>
    <xdr:clientData/>
  </xdr:twoCellAnchor>
  <xdr:twoCellAnchor>
    <xdr:from>
      <xdr:col>20</xdr:col>
      <xdr:colOff>1066800</xdr:colOff>
      <xdr:row>14</xdr:row>
      <xdr:rowOff>9525</xdr:rowOff>
    </xdr:from>
    <xdr:to>
      <xdr:col>20</xdr:col>
      <xdr:colOff>1762125</xdr:colOff>
      <xdr:row>15</xdr:row>
      <xdr:rowOff>180975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363825" y="2676525"/>
          <a:ext cx="695325" cy="361950"/>
        </a:xfrm>
        <a:prstGeom prst="rect">
          <a:avLst/>
        </a:prstGeom>
        <a:noFill/>
      </xdr:spPr>
    </xdr:pic>
    <xdr:clientData/>
  </xdr:twoCellAnchor>
  <xdr:twoCellAnchor>
    <xdr:from>
      <xdr:col>20</xdr:col>
      <xdr:colOff>828675</xdr:colOff>
      <xdr:row>0</xdr:row>
      <xdr:rowOff>152400</xdr:rowOff>
    </xdr:from>
    <xdr:to>
      <xdr:col>20</xdr:col>
      <xdr:colOff>1571625</xdr:colOff>
      <xdr:row>2</xdr:row>
      <xdr:rowOff>114300</xdr:rowOff>
    </xdr:to>
    <xdr:pic>
      <xdr:nvPicPr>
        <xdr:cNvPr id="1031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125700" y="152400"/>
          <a:ext cx="742950" cy="342900"/>
        </a:xfrm>
        <a:prstGeom prst="rect">
          <a:avLst/>
        </a:prstGeom>
        <a:noFill/>
      </xdr:spPr>
    </xdr:pic>
    <xdr:clientData/>
  </xdr:twoCellAnchor>
  <xdr:twoCellAnchor>
    <xdr:from>
      <xdr:col>20</xdr:col>
      <xdr:colOff>504825</xdr:colOff>
      <xdr:row>6</xdr:row>
      <xdr:rowOff>114300</xdr:rowOff>
    </xdr:from>
    <xdr:to>
      <xdr:col>20</xdr:col>
      <xdr:colOff>2200275</xdr:colOff>
      <xdr:row>8</xdr:row>
      <xdr:rowOff>161925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801850" y="1257300"/>
          <a:ext cx="1695450" cy="428625"/>
        </a:xfrm>
        <a:prstGeom prst="rect">
          <a:avLst/>
        </a:prstGeom>
        <a:noFill/>
      </xdr:spPr>
    </xdr:pic>
    <xdr:clientData/>
  </xdr:twoCellAnchor>
  <xdr:twoCellAnchor>
    <xdr:from>
      <xdr:col>20</xdr:col>
      <xdr:colOff>428625</xdr:colOff>
      <xdr:row>3</xdr:row>
      <xdr:rowOff>47625</xdr:rowOff>
    </xdr:from>
    <xdr:to>
      <xdr:col>20</xdr:col>
      <xdr:colOff>2352675</xdr:colOff>
      <xdr:row>5</xdr:row>
      <xdr:rowOff>104775</xdr:rowOff>
    </xdr:to>
    <xdr:pic>
      <xdr:nvPicPr>
        <xdr:cNvPr id="103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725650" y="619125"/>
          <a:ext cx="1924050" cy="438150"/>
        </a:xfrm>
        <a:prstGeom prst="rect">
          <a:avLst/>
        </a:prstGeom>
        <a:noFill/>
      </xdr:spPr>
    </xdr:pic>
    <xdr:clientData/>
  </xdr:twoCellAnchor>
  <xdr:twoCellAnchor>
    <xdr:from>
      <xdr:col>20</xdr:col>
      <xdr:colOff>1038225</xdr:colOff>
      <xdr:row>10</xdr:row>
      <xdr:rowOff>9525</xdr:rowOff>
    </xdr:from>
    <xdr:to>
      <xdr:col>20</xdr:col>
      <xdr:colOff>1666875</xdr:colOff>
      <xdr:row>11</xdr:row>
      <xdr:rowOff>161925</xdr:rowOff>
    </xdr:to>
    <xdr:pic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335250" y="1914525"/>
          <a:ext cx="628650" cy="34290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238125</xdr:colOff>
      <xdr:row>5</xdr:row>
      <xdr:rowOff>85725</xdr:rowOff>
    </xdr:from>
    <xdr:to>
      <xdr:col>12</xdr:col>
      <xdr:colOff>9350</xdr:colOff>
      <xdr:row>8</xdr:row>
      <xdr:rowOff>136071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34225" y="1038225"/>
          <a:ext cx="2371550" cy="621846"/>
        </a:xfrm>
        <a:prstGeom prst="rect">
          <a:avLst/>
        </a:prstGeom>
      </xdr:spPr>
    </xdr:pic>
    <xdr:clientData/>
  </xdr:twoCellAnchor>
  <xdr:twoCellAnchor editAs="oneCell">
    <xdr:from>
      <xdr:col>11</xdr:col>
      <xdr:colOff>561975</xdr:colOff>
      <xdr:row>9</xdr:row>
      <xdr:rowOff>47625</xdr:rowOff>
    </xdr:from>
    <xdr:to>
      <xdr:col>11</xdr:col>
      <xdr:colOff>2305582</xdr:colOff>
      <xdr:row>12</xdr:row>
      <xdr:rowOff>67488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458075" y="1762125"/>
          <a:ext cx="1743607" cy="591363"/>
        </a:xfrm>
        <a:prstGeom prst="rect">
          <a:avLst/>
        </a:prstGeom>
      </xdr:spPr>
    </xdr:pic>
    <xdr:clientData/>
  </xdr:twoCellAnchor>
  <xdr:twoCellAnchor editAs="oneCell">
    <xdr:from>
      <xdr:col>11</xdr:col>
      <xdr:colOff>600075</xdr:colOff>
      <xdr:row>13</xdr:row>
      <xdr:rowOff>28575</xdr:rowOff>
    </xdr:from>
    <xdr:to>
      <xdr:col>11</xdr:col>
      <xdr:colOff>2343682</xdr:colOff>
      <xdr:row>15</xdr:row>
      <xdr:rowOff>86525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96175" y="2505075"/>
          <a:ext cx="1743607" cy="438950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16</xdr:row>
      <xdr:rowOff>19050</xdr:rowOff>
    </xdr:from>
    <xdr:to>
      <xdr:col>16</xdr:col>
      <xdr:colOff>0</xdr:colOff>
      <xdr:row>26</xdr:row>
      <xdr:rowOff>57150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0" y="3067050"/>
          <a:ext cx="6829425" cy="1971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47625</xdr:rowOff>
        </xdr:from>
        <xdr:to>
          <xdr:col>4</xdr:col>
          <xdr:colOff>161925</xdr:colOff>
          <xdr:row>23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arcelo.galarca@riogrande.ifrs.edu.b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2:AO19"/>
  <sheetViews>
    <sheetView showGridLines="0" workbookViewId="0">
      <selection sqref="A1:R1048576"/>
    </sheetView>
  </sheetViews>
  <sheetFormatPr defaultRowHeight="15" x14ac:dyDescent="0.25"/>
  <cols>
    <col min="1" max="1" width="4.140625" style="39" customWidth="1"/>
    <col min="2" max="41" width="9.140625" style="39"/>
  </cols>
  <sheetData>
    <row r="12" spans="2:2" ht="16.5" x14ac:dyDescent="0.3">
      <c r="B12" s="40" t="s">
        <v>50</v>
      </c>
    </row>
    <row r="13" spans="2:2" ht="16.5" x14ac:dyDescent="0.3">
      <c r="B13" s="40" t="s">
        <v>51</v>
      </c>
    </row>
    <row r="15" spans="2:2" ht="16.5" x14ac:dyDescent="0.3">
      <c r="B15" s="40" t="s">
        <v>52</v>
      </c>
    </row>
    <row r="16" spans="2:2" ht="16.5" x14ac:dyDescent="0.3">
      <c r="B16" s="40" t="s">
        <v>53</v>
      </c>
    </row>
    <row r="18" spans="2:6" x14ac:dyDescent="0.25">
      <c r="B18" s="41" t="s">
        <v>54</v>
      </c>
      <c r="C18" s="41"/>
      <c r="D18" s="41"/>
      <c r="E18" s="41"/>
      <c r="F18" s="41"/>
    </row>
    <row r="19" spans="2:6" x14ac:dyDescent="0.25">
      <c r="B19" s="42" t="s">
        <v>55</v>
      </c>
      <c r="C19" s="41"/>
      <c r="D19" s="41"/>
      <c r="E19" s="41"/>
      <c r="F19" s="41"/>
    </row>
  </sheetData>
  <sheetProtection password="CA9C" sheet="1" objects="1" scenarios="1" selectLockedCells="1" selectUnlockedCells="1"/>
  <hyperlinks>
    <hyperlink ref="B19" r:id="rId1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127"/>
  <sheetViews>
    <sheetView showGridLines="0" tabSelected="1" topLeftCell="A3" workbookViewId="0">
      <selection activeCell="J11" sqref="J11"/>
    </sheetView>
  </sheetViews>
  <sheetFormatPr defaultRowHeight="15" x14ac:dyDescent="0.25"/>
  <cols>
    <col min="10" max="10" width="12" bestFit="1" customWidth="1"/>
    <col min="12" max="12" width="39" customWidth="1"/>
    <col min="13" max="13" width="5.5703125" customWidth="1"/>
    <col min="14" max="14" width="12.140625" customWidth="1"/>
    <col min="19" max="19" width="13.42578125" customWidth="1"/>
    <col min="21" max="21" width="37.28515625" customWidth="1"/>
  </cols>
  <sheetData>
    <row r="1" spans="1:22" x14ac:dyDescent="0.25">
      <c r="L1" s="11"/>
      <c r="M1" s="11"/>
      <c r="N1" s="18"/>
      <c r="O1" s="26" t="s">
        <v>12</v>
      </c>
      <c r="P1" s="11"/>
      <c r="Q1" s="11"/>
      <c r="R1" s="11"/>
      <c r="S1" s="11"/>
      <c r="T1" s="11"/>
      <c r="U1" s="11"/>
      <c r="V1" s="11"/>
    </row>
    <row r="2" spans="1:22" x14ac:dyDescent="0.25">
      <c r="L2" s="11"/>
      <c r="M2" s="11"/>
      <c r="N2" s="18"/>
      <c r="O2" s="11"/>
      <c r="P2" s="11"/>
      <c r="Q2" s="11"/>
      <c r="R2" s="11"/>
      <c r="S2" s="11"/>
      <c r="T2" s="11"/>
      <c r="U2" s="11"/>
      <c r="V2" s="11" t="s">
        <v>38</v>
      </c>
    </row>
    <row r="3" spans="1:22" x14ac:dyDescent="0.25">
      <c r="A3" s="24" t="s">
        <v>0</v>
      </c>
      <c r="L3" s="11"/>
      <c r="M3" s="11"/>
      <c r="N3" s="18"/>
      <c r="O3" s="25" t="s">
        <v>7</v>
      </c>
      <c r="P3" s="11"/>
      <c r="Q3" s="11"/>
      <c r="R3" s="11"/>
      <c r="S3" s="11"/>
      <c r="T3" s="11"/>
      <c r="U3" s="11"/>
      <c r="V3" s="11"/>
    </row>
    <row r="4" spans="1:22" x14ac:dyDescent="0.25">
      <c r="B4" s="12" t="s">
        <v>1</v>
      </c>
      <c r="C4" s="12"/>
      <c r="D4" s="12"/>
      <c r="E4" s="23">
        <f>(101303)/(286.9*(E6+273.15))</f>
        <v>1.1647539340468707</v>
      </c>
      <c r="F4" s="12" t="s">
        <v>31</v>
      </c>
      <c r="I4" s="19" t="s">
        <v>16</v>
      </c>
      <c r="J4" s="20">
        <v>1</v>
      </c>
      <c r="K4" s="19" t="s">
        <v>27</v>
      </c>
      <c r="L4" s="37" t="s">
        <v>49</v>
      </c>
      <c r="M4" s="11"/>
      <c r="N4" s="18"/>
      <c r="O4" s="11" t="s">
        <v>38</v>
      </c>
      <c r="P4" s="12" t="s">
        <v>8</v>
      </c>
      <c r="Q4" s="12"/>
      <c r="R4" s="12"/>
      <c r="S4" s="13">
        <f>64/J11</f>
        <v>3.5103784103456145E-4</v>
      </c>
      <c r="T4" s="12" t="s">
        <v>6</v>
      </c>
      <c r="U4" s="11"/>
      <c r="V4" s="11"/>
    </row>
    <row r="5" spans="1:22" x14ac:dyDescent="0.25">
      <c r="B5" s="12" t="s">
        <v>2</v>
      </c>
      <c r="C5" s="12"/>
      <c r="D5" s="12"/>
      <c r="E5" s="13">
        <f>((13+0.1*E6)*0.000001)*E4</f>
        <v>1.863606294474993E-5</v>
      </c>
      <c r="F5" s="12" t="s">
        <v>3</v>
      </c>
      <c r="I5" s="19" t="s">
        <v>17</v>
      </c>
      <c r="J5" s="20">
        <v>6</v>
      </c>
      <c r="K5" s="19" t="s">
        <v>26</v>
      </c>
      <c r="L5" s="11"/>
      <c r="M5" s="11"/>
      <c r="N5" s="18"/>
      <c r="O5" s="11" t="s">
        <v>39</v>
      </c>
      <c r="P5" s="12" t="s">
        <v>9</v>
      </c>
      <c r="Q5" s="12"/>
      <c r="R5" s="12"/>
      <c r="S5" s="13">
        <f>0.25*(LOG10((E10/J10)/3.7+5.74/(J11^0.9))^-2)</f>
        <v>1.5815541235564664E-2</v>
      </c>
      <c r="T5" s="12" t="s">
        <v>6</v>
      </c>
      <c r="U5" s="11"/>
      <c r="V5" s="11" t="s">
        <v>39</v>
      </c>
    </row>
    <row r="6" spans="1:22" x14ac:dyDescent="0.25">
      <c r="B6" s="21" t="s">
        <v>44</v>
      </c>
      <c r="C6" s="21"/>
      <c r="D6" s="21"/>
      <c r="E6" s="38">
        <v>30</v>
      </c>
      <c r="F6" s="21" t="s">
        <v>45</v>
      </c>
      <c r="I6" s="19" t="s">
        <v>19</v>
      </c>
      <c r="J6" s="20">
        <v>1.33</v>
      </c>
      <c r="K6" s="19" t="s">
        <v>29</v>
      </c>
      <c r="L6" s="11"/>
      <c r="M6" s="11"/>
      <c r="N6" s="18"/>
      <c r="O6" s="11" t="s">
        <v>40</v>
      </c>
      <c r="P6" s="12" t="s">
        <v>10</v>
      </c>
      <c r="Q6" s="12"/>
      <c r="R6" s="12"/>
      <c r="S6" s="14">
        <f>(-1/(2*LOG10((E10/J10)/3.7 + 2.51/(J11*SQRT(S5)))))^2</f>
        <v>1.5936661627238603E-2</v>
      </c>
      <c r="T6" s="12" t="s">
        <v>6</v>
      </c>
      <c r="U6" s="11"/>
      <c r="V6" s="11"/>
    </row>
    <row r="7" spans="1:22" x14ac:dyDescent="0.25">
      <c r="A7" s="24" t="s">
        <v>4</v>
      </c>
      <c r="L7" s="11"/>
      <c r="M7" s="11" t="s">
        <v>34</v>
      </c>
      <c r="N7" s="18"/>
      <c r="O7" s="11" t="s">
        <v>41</v>
      </c>
      <c r="P7" s="12" t="s">
        <v>11</v>
      </c>
      <c r="Q7" s="12"/>
      <c r="R7" s="12"/>
      <c r="S7" s="13">
        <f>0.316/J11^0.25</f>
        <v>1.5292573371127069E-2</v>
      </c>
      <c r="T7" s="12" t="s">
        <v>6</v>
      </c>
      <c r="U7" s="11"/>
      <c r="V7" s="11"/>
    </row>
    <row r="8" spans="1:22" x14ac:dyDescent="0.25">
      <c r="B8" s="6"/>
      <c r="C8" s="6"/>
      <c r="D8" s="6"/>
      <c r="E8" s="7"/>
      <c r="F8" s="6"/>
      <c r="L8" s="11"/>
      <c r="M8" s="11"/>
      <c r="N8" s="18"/>
      <c r="O8" s="11"/>
      <c r="P8" s="12" t="s">
        <v>14</v>
      </c>
      <c r="Q8" s="12"/>
      <c r="R8" s="12"/>
      <c r="S8" s="13">
        <f>IF(J11&lt;2000,S4,S6)</f>
        <v>1.5936661627238603E-2</v>
      </c>
      <c r="T8" s="12" t="s">
        <v>6</v>
      </c>
      <c r="U8" s="11"/>
      <c r="V8" s="11" t="s">
        <v>40</v>
      </c>
    </row>
    <row r="9" spans="1:22" x14ac:dyDescent="0.25">
      <c r="B9" s="6"/>
      <c r="C9" s="6"/>
      <c r="D9" s="6"/>
      <c r="E9" s="7"/>
      <c r="F9" s="6"/>
      <c r="G9" s="11"/>
      <c r="H9" s="11" t="s">
        <v>37</v>
      </c>
      <c r="I9" s="12" t="s">
        <v>18</v>
      </c>
      <c r="J9" s="12">
        <f xml:space="preserve"> SQRT((J4*J5^2)/((S8*E11/J10)+(0.1*E13/90)+J4))</f>
        <v>5.3146797722489598</v>
      </c>
      <c r="K9" s="12" t="s">
        <v>26</v>
      </c>
      <c r="L9" s="11"/>
      <c r="M9" s="11"/>
      <c r="N9" s="18"/>
      <c r="O9" s="11"/>
      <c r="P9" s="11"/>
      <c r="Q9" s="11"/>
      <c r="R9" s="11"/>
      <c r="S9" s="11"/>
      <c r="T9" s="11"/>
      <c r="U9" s="11"/>
      <c r="V9" s="11"/>
    </row>
    <row r="10" spans="1:22" x14ac:dyDescent="0.25">
      <c r="B10" s="21" t="s">
        <v>25</v>
      </c>
      <c r="C10" s="21"/>
      <c r="D10" s="21"/>
      <c r="E10" s="22">
        <v>0</v>
      </c>
      <c r="F10" s="21" t="s">
        <v>5</v>
      </c>
      <c r="G10" s="11"/>
      <c r="H10" s="11" t="s">
        <v>35</v>
      </c>
      <c r="I10" s="12" t="s">
        <v>23</v>
      </c>
      <c r="J10" s="12">
        <f>SQRT(((4*J6)/(PI()*J13)))</f>
        <v>0.58051806347838586</v>
      </c>
      <c r="K10" s="12" t="s">
        <v>5</v>
      </c>
      <c r="L10" s="11"/>
      <c r="M10" s="11"/>
      <c r="N10" s="18" t="s">
        <v>42</v>
      </c>
      <c r="O10" s="15" t="s">
        <v>13</v>
      </c>
      <c r="P10" s="15"/>
      <c r="Q10" s="15"/>
      <c r="R10" s="15"/>
      <c r="S10" s="16">
        <f>E4*S8*(E11/J10)*(J13^2/2)</f>
        <v>4.0368849462000798</v>
      </c>
      <c r="T10" s="15" t="s">
        <v>15</v>
      </c>
      <c r="U10" s="11"/>
      <c r="V10" s="11"/>
    </row>
    <row r="11" spans="1:22" x14ac:dyDescent="0.25">
      <c r="B11" s="21" t="s">
        <v>24</v>
      </c>
      <c r="C11" s="21"/>
      <c r="D11" s="21"/>
      <c r="E11" s="22">
        <v>10</v>
      </c>
      <c r="F11" s="21" t="s">
        <v>5</v>
      </c>
      <c r="G11" s="11"/>
      <c r="H11" s="11" t="s">
        <v>36</v>
      </c>
      <c r="I11" s="12" t="s">
        <v>20</v>
      </c>
      <c r="J11" s="13">
        <f>(E4*4*J6)/(E5*PI()*J10)</f>
        <v>182316.5269344819</v>
      </c>
      <c r="K11" s="12" t="s">
        <v>27</v>
      </c>
      <c r="L11" s="11"/>
      <c r="M11" s="11" t="s">
        <v>35</v>
      </c>
      <c r="N11" s="18"/>
      <c r="O11" s="11"/>
      <c r="P11" s="11"/>
      <c r="Q11" s="11"/>
      <c r="R11" s="11"/>
      <c r="S11" s="11"/>
      <c r="T11" s="11"/>
      <c r="U11" s="11"/>
      <c r="V11" s="11" t="s">
        <v>41</v>
      </c>
    </row>
    <row r="12" spans="1:22" x14ac:dyDescent="0.25">
      <c r="E12" s="1"/>
      <c r="G12" s="11"/>
      <c r="H12" s="11"/>
      <c r="I12" s="12" t="s">
        <v>21</v>
      </c>
      <c r="J12" s="12">
        <f>ABS((J9-J13)/J9)*100</f>
        <v>5.4518181155461871</v>
      </c>
      <c r="K12" s="12" t="s">
        <v>28</v>
      </c>
      <c r="L12" s="11"/>
      <c r="M12" s="11"/>
      <c r="N12" s="18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B13" s="21" t="s">
        <v>32</v>
      </c>
      <c r="C13" s="21"/>
      <c r="D13" s="21"/>
      <c r="E13" s="38">
        <v>0</v>
      </c>
      <c r="F13" s="21" t="s">
        <v>33</v>
      </c>
      <c r="G13" s="43" t="s">
        <v>30</v>
      </c>
      <c r="H13" s="43"/>
      <c r="I13" s="19" t="s">
        <v>22</v>
      </c>
      <c r="J13" s="20">
        <v>5.0249330976422222</v>
      </c>
      <c r="K13" s="19" t="s">
        <v>26</v>
      </c>
      <c r="L13" s="11"/>
      <c r="M13" s="11"/>
      <c r="N13" s="18"/>
      <c r="O13" s="11"/>
      <c r="P13" s="11"/>
      <c r="Q13" s="11"/>
      <c r="R13" s="11"/>
      <c r="S13" s="11"/>
      <c r="T13" s="11"/>
      <c r="U13" s="11"/>
      <c r="V13" s="11"/>
    </row>
    <row r="14" spans="1:22" x14ac:dyDescent="0.25">
      <c r="L14" s="11"/>
      <c r="M14" s="11"/>
      <c r="N14" s="18"/>
      <c r="O14" s="11"/>
      <c r="P14" s="11"/>
      <c r="Q14" s="11"/>
      <c r="R14" s="11"/>
      <c r="S14" s="11"/>
      <c r="T14" s="11"/>
      <c r="U14" s="11"/>
      <c r="V14" s="11"/>
    </row>
    <row r="15" spans="1:22" x14ac:dyDescent="0.25">
      <c r="B15" s="6"/>
      <c r="C15" s="6"/>
      <c r="D15" s="6"/>
      <c r="E15" s="7"/>
      <c r="F15" s="6"/>
      <c r="G15" s="6"/>
      <c r="L15" s="11"/>
      <c r="M15" s="11" t="s">
        <v>36</v>
      </c>
      <c r="N15" s="18"/>
      <c r="O15" s="11"/>
      <c r="P15" s="11"/>
      <c r="Q15" s="11"/>
      <c r="R15" s="11"/>
      <c r="S15" s="11"/>
      <c r="T15" s="11"/>
      <c r="U15" s="11"/>
      <c r="V15" s="11"/>
    </row>
    <row r="16" spans="1:22" x14ac:dyDescent="0.25">
      <c r="A16" s="6"/>
      <c r="B16" s="6"/>
      <c r="C16" s="6"/>
      <c r="D16" s="6"/>
      <c r="E16" s="8"/>
      <c r="F16" s="6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 t="s">
        <v>42</v>
      </c>
    </row>
    <row r="17" spans="1:22" ht="15.75" thickBot="1" x14ac:dyDescent="0.3">
      <c r="A17" s="30"/>
      <c r="B17" s="32" t="s">
        <v>46</v>
      </c>
      <c r="C17" s="30"/>
      <c r="D17" s="30"/>
      <c r="E17" s="31"/>
      <c r="F17" s="3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 ht="15.75" thickBot="1" x14ac:dyDescent="0.3">
      <c r="A18" s="30"/>
      <c r="B18" s="35"/>
      <c r="C18" s="34" t="s">
        <v>47</v>
      </c>
      <c r="D18" s="34"/>
      <c r="E18" s="34"/>
      <c r="F18" s="3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7"/>
      <c r="T18" s="11"/>
      <c r="U18" s="11"/>
      <c r="V18" s="11"/>
    </row>
    <row r="19" spans="1:22" ht="15.75" thickBot="1" x14ac:dyDescent="0.3">
      <c r="A19" s="30"/>
      <c r="B19" s="36"/>
      <c r="C19" s="34" t="s">
        <v>48</v>
      </c>
      <c r="D19" s="34"/>
      <c r="E19" s="34"/>
      <c r="F19" s="3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7"/>
      <c r="T19" s="11"/>
      <c r="U19" s="11"/>
      <c r="V19" s="11" t="s">
        <v>43</v>
      </c>
    </row>
    <row r="20" spans="1:22" x14ac:dyDescent="0.25">
      <c r="A20" s="30"/>
      <c r="B20" s="30"/>
      <c r="C20" s="30"/>
      <c r="D20" s="30"/>
      <c r="E20" s="33"/>
      <c r="F20" s="30"/>
      <c r="G20" s="27"/>
      <c r="H20" s="28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 x14ac:dyDescent="0.25">
      <c r="E21" s="1"/>
      <c r="G21" s="11"/>
      <c r="H21" s="11"/>
      <c r="I21" s="11"/>
      <c r="J21" s="11"/>
      <c r="K21" s="11"/>
      <c r="L21" s="11"/>
      <c r="M21" s="11"/>
      <c r="N21" s="11"/>
      <c r="O21" s="29"/>
      <c r="P21" s="29"/>
      <c r="Q21" s="6"/>
      <c r="R21" s="6"/>
      <c r="S21" s="6"/>
      <c r="T21" s="6"/>
    </row>
    <row r="22" spans="1:22" x14ac:dyDescent="0.25">
      <c r="E22" s="5"/>
      <c r="G22" s="11"/>
      <c r="H22" s="11"/>
      <c r="I22" s="11"/>
      <c r="J22" s="11"/>
      <c r="K22" s="11"/>
      <c r="L22" s="11"/>
      <c r="M22" s="11"/>
      <c r="N22" s="11"/>
      <c r="O22" s="29"/>
      <c r="P22" s="29"/>
      <c r="Q22" s="6"/>
      <c r="R22" s="6"/>
      <c r="S22" s="8"/>
      <c r="T22" s="6"/>
    </row>
    <row r="23" spans="1:22" x14ac:dyDescent="0.25">
      <c r="A23" s="6"/>
      <c r="B23" s="9"/>
      <c r="C23" s="9"/>
      <c r="D23" s="9"/>
      <c r="E23" s="10"/>
      <c r="F23" s="9"/>
      <c r="G23" s="28"/>
      <c r="H23" s="28"/>
      <c r="I23" s="11"/>
      <c r="J23" s="11"/>
      <c r="K23" s="11"/>
      <c r="L23" s="11"/>
      <c r="M23" s="11"/>
      <c r="N23" s="11"/>
      <c r="O23" s="29"/>
      <c r="P23" s="29"/>
      <c r="Q23" s="6"/>
      <c r="R23" s="6"/>
      <c r="S23" s="8"/>
      <c r="T23" s="6"/>
    </row>
    <row r="24" spans="1:22" x14ac:dyDescent="0.25">
      <c r="B24" s="3"/>
      <c r="C24" s="3"/>
      <c r="D24" s="3"/>
      <c r="E24" s="4"/>
      <c r="F24" s="3"/>
      <c r="G24" s="27"/>
      <c r="H24" s="28"/>
      <c r="I24" s="11"/>
      <c r="J24" s="11"/>
      <c r="K24" s="11"/>
      <c r="L24" s="11"/>
      <c r="M24" s="11"/>
      <c r="N24" s="11"/>
      <c r="O24" s="29"/>
      <c r="P24" s="29"/>
      <c r="Q24" s="6"/>
      <c r="R24" s="6"/>
      <c r="S24" s="8"/>
      <c r="T24" s="6"/>
    </row>
    <row r="25" spans="1:22" x14ac:dyDescent="0.25">
      <c r="E25" s="1"/>
      <c r="G25" s="11"/>
      <c r="H25" s="11"/>
      <c r="I25" s="11"/>
      <c r="J25" s="11"/>
      <c r="K25" s="11"/>
      <c r="L25" s="11"/>
      <c r="M25" s="11"/>
      <c r="N25" s="11"/>
      <c r="O25" s="29"/>
      <c r="P25" s="29"/>
      <c r="Q25" s="6"/>
      <c r="R25" s="6"/>
      <c r="S25" s="8"/>
      <c r="T25" s="6"/>
    </row>
    <row r="26" spans="1:22" x14ac:dyDescent="0.25">
      <c r="G26" s="11"/>
      <c r="H26" s="11"/>
      <c r="I26" s="11"/>
      <c r="J26" s="11"/>
      <c r="K26" s="11"/>
      <c r="L26" s="11"/>
      <c r="M26" s="11"/>
      <c r="N26" s="11"/>
      <c r="O26" s="29"/>
      <c r="P26" s="29"/>
      <c r="Q26" s="6"/>
      <c r="R26" s="6"/>
      <c r="S26" s="8"/>
      <c r="T26" s="6"/>
    </row>
    <row r="27" spans="1:22" x14ac:dyDescent="0.25">
      <c r="A27" s="2"/>
      <c r="B27" s="2"/>
      <c r="C27" s="2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22" x14ac:dyDescent="0.25">
      <c r="A28" s="2"/>
      <c r="B28" s="2"/>
      <c r="C28" s="2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22" x14ac:dyDescent="0.25">
      <c r="A29" s="2"/>
      <c r="B29" s="2"/>
      <c r="C29" s="2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22" x14ac:dyDescent="0.25">
      <c r="A30" s="2"/>
      <c r="B30" s="2"/>
      <c r="C30" s="2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22" x14ac:dyDescent="0.25">
      <c r="A31" s="2"/>
      <c r="B31" s="2"/>
      <c r="C31" s="2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22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  <row r="116" spans="1:3" x14ac:dyDescent="0.25">
      <c r="A116" s="2"/>
      <c r="B116" s="2"/>
      <c r="C116" s="2"/>
    </row>
    <row r="117" spans="1:3" x14ac:dyDescent="0.25">
      <c r="A117" s="2"/>
      <c r="B117" s="2"/>
      <c r="C117" s="2"/>
    </row>
    <row r="118" spans="1:3" x14ac:dyDescent="0.25">
      <c r="A118" s="2"/>
      <c r="B118" s="2"/>
      <c r="C118" s="2"/>
    </row>
    <row r="119" spans="1:3" x14ac:dyDescent="0.25">
      <c r="A119" s="2"/>
      <c r="B119" s="2"/>
      <c r="C119" s="2"/>
    </row>
    <row r="120" spans="1:3" x14ac:dyDescent="0.25">
      <c r="A120" s="2"/>
      <c r="B120" s="2"/>
      <c r="C120" s="2"/>
    </row>
    <row r="121" spans="1:3" x14ac:dyDescent="0.25">
      <c r="A121" s="2"/>
      <c r="B121" s="2"/>
      <c r="C121" s="2"/>
    </row>
    <row r="122" spans="1:3" x14ac:dyDescent="0.25">
      <c r="A122" s="2"/>
      <c r="B122" s="2"/>
      <c r="C122" s="2"/>
    </row>
    <row r="123" spans="1:3" x14ac:dyDescent="0.25">
      <c r="A123" s="2"/>
      <c r="B123" s="2"/>
      <c r="C123" s="2"/>
    </row>
    <row r="124" spans="1:3" x14ac:dyDescent="0.25">
      <c r="A124" s="2"/>
      <c r="B124" s="2"/>
      <c r="C124" s="2"/>
    </row>
    <row r="125" spans="1:3" x14ac:dyDescent="0.25">
      <c r="A125" s="2"/>
      <c r="B125" s="2"/>
      <c r="C125" s="2"/>
    </row>
    <row r="126" spans="1:3" x14ac:dyDescent="0.25">
      <c r="A126" s="2"/>
      <c r="B126" s="2"/>
      <c r="C126" s="2"/>
    </row>
    <row r="127" spans="1:3" x14ac:dyDescent="0.25">
      <c r="A127" s="2"/>
      <c r="B127" s="2"/>
      <c r="C127" s="2"/>
    </row>
  </sheetData>
  <sheetProtection selectLockedCells="1"/>
  <mergeCells count="1">
    <mergeCell ref="G13:H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47625</xdr:colOff>
                <xdr:row>21</xdr:row>
                <xdr:rowOff>47625</xdr:rowOff>
              </from>
              <to>
                <xdr:col>4</xdr:col>
                <xdr:colOff>161925</xdr:colOff>
                <xdr:row>23</xdr:row>
                <xdr:rowOff>95250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Apresentação</vt:lpstr>
      <vt:lpstr>Rec. Pressão Estática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Galarça</dc:creator>
  <cp:lastModifiedBy>Marcelo</cp:lastModifiedBy>
  <dcterms:created xsi:type="dcterms:W3CDTF">2010-08-27T10:37:35Z</dcterms:created>
  <dcterms:modified xsi:type="dcterms:W3CDTF">2016-06-03T18:52:39Z</dcterms:modified>
</cp:coreProperties>
</file>